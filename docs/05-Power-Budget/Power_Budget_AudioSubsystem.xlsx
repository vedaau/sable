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wer Budget"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8" authorId="0">
      <text>
        <r>
          <rPr>
            <sz val="10"/>
            <rFont val="Arial"/>
            <family val="2"/>
          </rPr>
          <t xml:space="preserve">For inductive loads (e.g., motors, solenoids) this is often called "stall current" on the data sheet</t>
        </r>
      </text>
    </comment>
  </commentList>
</comments>
</file>

<file path=xl/sharedStrings.xml><?xml version="1.0" encoding="utf-8"?>
<sst xmlns="http://schemas.openxmlformats.org/spreadsheetml/2006/main" count="161" uniqueCount="69">
  <si>
    <t xml:space="preserve">Power Budget - Audio Subsystem</t>
  </si>
  <si>
    <t xml:space="preserve">Team Number:</t>
  </si>
  <si>
    <t xml:space="preserve">Project Name:</t>
  </si>
  <si>
    <t xml:space="preserve">Sable Audio Subsystem</t>
  </si>
  <si>
    <t xml:space="preserve">Team Member Names:</t>
  </si>
  <si>
    <t xml:space="preserve">Vedaa Ubale</t>
  </si>
  <si>
    <t xml:space="preserve">Version:</t>
  </si>
  <si>
    <t xml:space="preserve">1.0</t>
  </si>
  <si>
    <t xml:space="preserve">A. List ALL major components (active devices, integrated circuits, etc.) except for power sources, voltage regulators, resistors, capacitors, or passive elements</t>
  </si>
  <si>
    <t xml:space="preserve">All Major Components</t>
  </si>
  <si>
    <t xml:space="preserve">Component Name</t>
  </si>
  <si>
    <t xml:space="preserve">Part Number</t>
  </si>
  <si>
    <t xml:space="preserve">Supply
Voltage
Range</t>
  </si>
  <si>
    <t xml:space="preserve">#</t>
  </si>
  <si>
    <t xml:space="preserve">Absolute
Maximum
Current (mA)</t>
  </si>
  <si>
    <t xml:space="preserve">Total
Current
(mA)</t>
  </si>
  <si>
    <t xml:space="preserve">Unit</t>
  </si>
  <si>
    <t xml:space="preserve">Microcontroller</t>
  </si>
  <si>
    <t xml:space="preserve">PIC18F27Q43-I/SS</t>
  </si>
  <si>
    <t xml:space="preserve">+1.8 to +5.5V</t>
  </si>
  <si>
    <t xml:space="preserve">mA</t>
  </si>
  <si>
    <t xml:space="preserve">I2S MEMS Microphone</t>
  </si>
  <si>
    <t xml:space="preserve">ICS-43434</t>
  </si>
  <si>
    <t xml:space="preserve">+1.62 to +3.63V</t>
  </si>
  <si>
    <t xml:space="preserve">B. Assign each major component above to ONE power rail below. Try to minimize the number of different power rails in the design. 
Add additional power rails or change the power rail voltages if needed.</t>
  </si>
  <si>
    <t xml:space="preserve">+12V Power Rail (no major components - input to 3.3V regulator only)</t>
  </si>
  <si>
    <t xml:space="preserve">Subtotal </t>
  </si>
  <si>
    <t xml:space="preserve">Safety Margin</t>
  </si>
  <si>
    <t xml:space="preserve">Total Current Required on +12V Rail</t>
  </si>
  <si>
    <t xml:space="preserve">c1. Regulator or Source Choice (+12V direct from external supply)</t>
  </si>
  <si>
    <t xml:space="preserve">+12V from external wall supply (no regulator)</t>
  </si>
  <si>
    <t xml:space="preserve">N/A</t>
  </si>
  <si>
    <t xml:space="preserve">+12V</t>
  </si>
  <si>
    <t xml:space="preserve">Total Remaining Current Available on +12V Rail</t>
  </si>
  <si>
    <t xml:space="preserve">+5V Power Rail (NOT USED in this subsystem)</t>
  </si>
  <si>
    <t xml:space="preserve">Total Current Required on +5V Rail</t>
  </si>
  <si>
    <t xml:space="preserve">c2. Regulator or Source Choice (+5V rail not used)</t>
  </si>
  <si>
    <t xml:space="preserve">Total Remaining Current Available on +5V Rail</t>
  </si>
  <si>
    <t xml:space="preserve">-5V Power Rail (NOT USED in this subsystem)</t>
  </si>
  <si>
    <t xml:space="preserve">Total Current Required on -5V Rail</t>
  </si>
  <si>
    <t xml:space="preserve">c3. Regulator or Source Choice (-5V rail not used)</t>
  </si>
  <si>
    <t xml:space="preserve">Total Remaining Current Available on -5V Rail</t>
  </si>
  <si>
    <t xml:space="preserve"> +3.3V Power Rail</t>
  </si>
  <si>
    <t xml:space="preserve">Total Current Required on +3.3V Rail</t>
  </si>
  <si>
    <t xml:space="preserve">c4. Regulator or Source Choice</t>
  </si>
  <si>
    <t xml:space="preserve">+3.3V switching regulator</t>
  </si>
  <si>
    <t xml:space="preserve">LM2575GR-3.3</t>
  </si>
  <si>
    <t xml:space="preserve">+4.75V to +40V</t>
  </si>
  <si>
    <t xml:space="preserve">Total Remaining Current Available on 3.3V Rail</t>
  </si>
  <si>
    <t xml:space="preserve">C. For each power rail above, select a specific voltage regulator using the same process as for major component selection. Confirm that the Total Remaining Current Available on each rail above is not negative.</t>
  </si>
  <si>
    <t xml:space="preserve">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</si>
  <si>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 xml:space="preserve">External Power Source 1</t>
  </si>
  <si>
    <t xml:space="preserve">Output Voltage</t>
  </si>
  <si>
    <t xml:space="preserve">Power Source 1 Selection</t>
  </si>
  <si>
    <t xml:space="preserve">Plug-in Wall Supply</t>
  </si>
  <si>
    <t xml:space="preserve">Generic 12V/2A DC Adapter</t>
  </si>
  <si>
    <t xml:space="preserve">110VAC input</t>
  </si>
  <si>
    <t xml:space="preserve">Power Rails Connected to External Power Source 1</t>
  </si>
  <si>
    <t xml:space="preserve">Total Remaining Current Available on External Power Source 1</t>
  </si>
  <si>
    <t xml:space="preserve">External Power Source 2 (NOT USED - single supply design)</t>
  </si>
  <si>
    <t xml:space="preserve">Power Source 2 Selection</t>
  </si>
  <si>
    <t xml:space="preserve">Power Rails Connected to External Power Source 2</t>
  </si>
  <si>
    <t xml:space="preserve">Total Remaining Current Available on External Power Source 2</t>
  </si>
  <si>
    <t xml:space="preserve">E. Calculate Battery Life (N/A - this subsystem uses a wall supply, not a battery)</t>
  </si>
  <si>
    <t xml:space="preserve">Capacity
(mAh)</t>
  </si>
  <si>
    <t xml:space="preserve">Required
By
Regulators</t>
  </si>
  <si>
    <t xml:space="preserve">Notes</t>
  </si>
  <si>
    <t xml:space="preserve">External Supply Voltage should be determined by the dropout voltage for highest-voltage regulator (e.g., +14V for a +12V regulator).</t>
  </si>
  <si>
    <t xml:space="preserve">If you have multiple units in your design (e.g., a base unit and remote unit) then you need a separate power budget for each unit</t>
  </si>
</sst>
</file>

<file path=xl/styles.xml><?xml version="1.0" encoding="utf-8"?>
<styleSheet xmlns="http://schemas.openxmlformats.org/spreadsheetml/2006/main">
  <numFmts count="4">
    <numFmt numFmtId="164" formatCode="General"/>
    <numFmt numFmtId="165" formatCode="General"/>
    <numFmt numFmtId="166" formatCode="@"/>
    <numFmt numFmtId="167" formatCode="0%"/>
  </numFmts>
  <fonts count="14">
    <font>
      <sz val="12"/>
      <color rgb="FF000000"/>
      <name val="Calibri"/>
      <family val="0"/>
      <charset val="1"/>
    </font>
    <font>
      <sz val="10"/>
      <name val="Arial"/>
      <family val="0"/>
    </font>
    <font>
      <sz val="10"/>
      <name val="Arial"/>
      <family val="0"/>
    </font>
    <font>
      <sz val="10"/>
      <name val="Arial"/>
      <family val="0"/>
    </font>
    <font>
      <b val="true"/>
      <sz val="24"/>
      <color rgb="FF000000"/>
      <name val="Calibri"/>
      <family val="0"/>
      <charset val="1"/>
    </font>
    <font>
      <b val="true"/>
      <sz val="12"/>
      <color rgb="FF000000"/>
      <name val="Calibri"/>
      <family val="0"/>
      <charset val="1"/>
    </font>
    <font>
      <sz val="11"/>
      <name val="Cambria"/>
      <family val="0"/>
      <charset val="1"/>
    </font>
    <font>
      <b val="true"/>
      <sz val="12"/>
      <color rgb="FF000000"/>
      <name val="Arial"/>
      <family val="0"/>
      <charset val="1"/>
    </font>
    <font>
      <b val="true"/>
      <i val="true"/>
      <sz val="12"/>
      <color rgb="FF000000"/>
      <name val="Arial"/>
      <family val="0"/>
      <charset val="1"/>
    </font>
    <font>
      <sz val="12"/>
      <color rgb="FF000000"/>
      <name val="Arial"/>
      <family val="0"/>
      <charset val="1"/>
    </font>
    <font>
      <b val="true"/>
      <i val="true"/>
      <sz val="12"/>
      <color rgb="FF000000"/>
      <name val="Calibri"/>
      <family val="0"/>
      <charset val="1"/>
    </font>
    <font>
      <sz val="11"/>
      <name val="Arial"/>
      <family val="0"/>
      <charset val="1"/>
    </font>
    <font>
      <sz val="11"/>
      <color rgb="FF000000"/>
      <name val="Arial"/>
      <family val="0"/>
      <charset val="1"/>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FFFFFF"/>
      </patternFill>
    </fill>
    <fill>
      <patternFill patternType="solid">
        <fgColor rgb="FFFFFFFF"/>
        <bgColor rgb="FFEEECE1"/>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thin"/>
      <top/>
      <bottom style="thin"/>
      <diagonal/>
    </border>
    <border diagonalUp="false" diagonalDown="false">
      <left style="thin"/>
      <right/>
      <top/>
      <bottom/>
      <diagonal/>
    </border>
    <border diagonalUp="false" diagonalDown="false">
      <left style="thin"/>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bottom" textRotation="0" wrapText="true" indent="0" shrinkToFit="false"/>
      <protection locked="true" hidden="false"/>
    </xf>
    <xf numFmtId="164" fontId="7" fillId="3" borderId="2" xfId="0" applyFont="true" applyBorder="true" applyAlignment="true" applyProtection="false">
      <alignment horizontal="center" vertical="bottom" textRotation="0" wrapText="false" indent="0" shrinkToFit="false"/>
      <protection locked="true" hidden="false"/>
    </xf>
    <xf numFmtId="164" fontId="5" fillId="3" borderId="3" xfId="0" applyFont="true" applyBorder="true" applyAlignment="true" applyProtection="false">
      <alignment horizontal="center" vertical="bottom" textRotation="0" wrapText="false" indent="0" shrinkToFit="false"/>
      <protection locked="true" hidden="false"/>
    </xf>
    <xf numFmtId="164" fontId="7" fillId="3" borderId="3" xfId="0" applyFont="true" applyBorder="true" applyAlignment="true" applyProtection="false">
      <alignment horizontal="center" vertical="bottom" textRotation="0" wrapText="true" indent="0" shrinkToFit="false"/>
      <protection locked="true" hidden="false"/>
    </xf>
    <xf numFmtId="164" fontId="7" fillId="3" borderId="4" xfId="0" applyFont="true" applyBorder="true" applyAlignment="true" applyProtection="false">
      <alignment horizontal="center" vertical="bottom" textRotation="0" wrapText="tru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6" xfId="0" applyFont="fals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5" fillId="0" borderId="6" xfId="0" applyFont="true" applyBorder="true" applyAlignment="tru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right" vertical="bottom" textRotation="0" wrapText="false" indent="0" shrinkToFit="false"/>
      <protection locked="true" hidden="false"/>
    </xf>
    <xf numFmtId="167" fontId="0" fillId="0" borderId="6" xfId="0" applyFont="false" applyBorder="true" applyAlignment="true" applyProtection="false">
      <alignment horizontal="general" vertical="bottom" textRotation="0" wrapText="false" indent="0" shrinkToFit="false"/>
      <protection locked="true" hidden="false"/>
    </xf>
    <xf numFmtId="164" fontId="10" fillId="0" borderId="5"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right" vertical="bottom" textRotation="0" wrapText="false" indent="0" shrinkToFit="false"/>
      <protection locked="true" hidden="false"/>
    </xf>
    <xf numFmtId="164" fontId="8" fillId="0" borderId="5"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0" fillId="0" borderId="6" xfId="0" applyFont="false" applyBorder="true" applyAlignment="true" applyProtection="false">
      <alignment horizontal="right" vertical="bottom" textRotation="0" wrapText="false" indent="0" shrinkToFit="false"/>
      <protection locked="true" hidden="false"/>
    </xf>
    <xf numFmtId="164" fontId="8" fillId="0" borderId="7" xfId="0" applyFont="true" applyBorder="true" applyAlignment="true" applyProtection="false">
      <alignment horizontal="left" vertical="bottom" textRotation="0" wrapText="false" indent="0" shrinkToFit="false"/>
      <protection locked="true" hidden="false"/>
    </xf>
    <xf numFmtId="166" fontId="8" fillId="0" borderId="8" xfId="0" applyFont="true" applyBorder="true" applyAlignment="true" applyProtection="false">
      <alignment horizontal="right" vertical="bottom" textRotation="0" wrapText="false" indent="0" shrinkToFit="false"/>
      <protection locked="true" hidden="false"/>
    </xf>
    <xf numFmtId="165" fontId="0" fillId="0" borderId="6" xfId="0" applyFont="fals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true" indent="0" shrinkToFit="false"/>
      <protection locked="true" hidden="false"/>
    </xf>
    <xf numFmtId="166" fontId="8" fillId="0" borderId="0" xfId="0" applyFont="true" applyBorder="true" applyAlignment="true" applyProtection="false">
      <alignment horizontal="right" vertical="bottom" textRotation="0" wrapText="fals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bottom"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left" vertical="bottom" textRotation="0" wrapText="false" indent="0" shrinkToFit="false"/>
      <protection locked="true" hidden="false"/>
    </xf>
    <xf numFmtId="164" fontId="9" fillId="0" borderId="6" xfId="0" applyFont="true" applyBorder="true" applyAlignment="true" applyProtection="false">
      <alignment horizontal="right" vertical="bottom" textRotation="0" wrapText="false" indent="0" shrinkToFit="false"/>
      <protection locked="true" hidden="false"/>
    </xf>
    <xf numFmtId="164" fontId="9" fillId="0" borderId="9" xfId="0" applyFont="true" applyBorder="true" applyAlignment="true" applyProtection="false">
      <alignment horizontal="left" vertical="bottom" textRotation="0" wrapText="false" indent="0" shrinkToFit="false"/>
      <protection locked="true" hidden="false"/>
    </xf>
    <xf numFmtId="164" fontId="7" fillId="0" borderId="5" xfId="0" applyFont="true" applyBorder="true" applyAlignment="true" applyProtection="false">
      <alignment horizontal="center" vertical="bottom" textRotation="0" wrapText="false" indent="0" shrinkToFit="false"/>
      <protection locked="true" hidden="false"/>
    </xf>
    <xf numFmtId="164" fontId="9" fillId="0" borderId="9" xfId="0" applyFont="true" applyBorder="true" applyAlignment="true" applyProtection="false">
      <alignment horizontal="general" vertical="bottom" textRotation="0" wrapText="false" indent="0" shrinkToFit="false"/>
      <protection locked="true" hidden="false"/>
    </xf>
    <xf numFmtId="164" fontId="7" fillId="0" borderId="5" xfId="0" applyFont="true" applyBorder="true" applyAlignment="true" applyProtection="false">
      <alignment horizontal="left" vertical="center" textRotation="0" wrapText="true" indent="0" shrinkToFit="false"/>
      <protection locked="true" hidden="false"/>
    </xf>
    <xf numFmtId="164" fontId="7" fillId="0" borderId="6" xfId="0" applyFont="true" applyBorder="true" applyAlignment="true" applyProtection="false">
      <alignment horizontal="center" vertical="bottom" textRotation="0" wrapText="false" indent="0" shrinkToFit="false"/>
      <protection locked="true" hidden="false"/>
    </xf>
    <xf numFmtId="164" fontId="7" fillId="0" borderId="9"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center" vertical="bottom" textRotation="0" wrapText="false" indent="0" shrinkToFit="false"/>
      <protection locked="true" hidden="false"/>
    </xf>
    <xf numFmtId="164" fontId="8" fillId="2" borderId="2" xfId="0" applyFont="true" applyBorder="true" applyAlignment="true" applyProtection="false">
      <alignment horizontal="general" vertical="bottom" textRotation="0" wrapText="tru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4" fontId="5" fillId="3" borderId="5"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true" indent="0" shrinkToFit="false"/>
      <protection locked="true" hidden="false"/>
    </xf>
    <xf numFmtId="164" fontId="7" fillId="3" borderId="6" xfId="0" applyFont="true" applyBorder="true" applyAlignment="true" applyProtection="false">
      <alignment horizontal="center" vertical="bottom" textRotation="0" wrapText="true" indent="0" shrinkToFit="false"/>
      <protection locked="true" hidden="false"/>
    </xf>
    <xf numFmtId="164" fontId="5" fillId="3" borderId="6"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4" fontId="8" fillId="2" borderId="0" xfId="0" applyFont="true" applyBorder="tru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64" fontId="12" fillId="4" borderId="0" xfId="0" applyFont="true" applyBorder="tru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000000"/>
      </font>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44140625" defaultRowHeight="15.75" zeroHeight="false" outlineLevelRow="0" outlineLevelCol="0"/>
  <cols>
    <col collapsed="false" customWidth="true" hidden="false" outlineLevel="0" max="1" min="1" style="0" width="26.11"/>
    <col collapsed="false" customWidth="true" hidden="false" outlineLevel="0" max="2" min="2" style="0" width="23.11"/>
    <col collapsed="false" customWidth="true" hidden="false" outlineLevel="0" max="4" min="4" style="0" width="11.44"/>
    <col collapsed="false" customWidth="true" hidden="false" outlineLevel="0" max="5" min="5" style="0" width="6.89"/>
    <col collapsed="false" customWidth="true" hidden="false" outlineLevel="0" max="6" min="6" style="0" width="12.33"/>
    <col collapsed="false" customWidth="true" hidden="false" outlineLevel="0" max="7" min="7" style="0" width="12.67"/>
    <col collapsed="false" customWidth="true" hidden="false" outlineLevel="0" max="8" min="8" style="0" width="9"/>
  </cols>
  <sheetData>
    <row r="1" customFormat="false" ht="30" hidden="false" customHeight="true" outlineLevel="0" collapsed="false">
      <c r="A1" s="1" t="s">
        <v>0</v>
      </c>
      <c r="B1" s="1"/>
      <c r="C1" s="1"/>
      <c r="D1" s="1"/>
      <c r="E1" s="1"/>
      <c r="F1" s="1"/>
      <c r="G1" s="1"/>
      <c r="H1" s="1"/>
    </row>
    <row r="2" customFormat="false" ht="15" hidden="false" customHeight="true" outlineLevel="0" collapsed="false">
      <c r="A2" s="2" t="s">
        <v>1</v>
      </c>
      <c r="B2" s="3" t="n">
        <v>303</v>
      </c>
      <c r="D2" s="4"/>
      <c r="E2" s="4"/>
    </row>
    <row r="3" customFormat="false" ht="15" hidden="false" customHeight="true" outlineLevel="0" collapsed="false">
      <c r="A3" s="5" t="s">
        <v>2</v>
      </c>
      <c r="B3" s="2" t="s">
        <v>3</v>
      </c>
      <c r="C3" s="6"/>
      <c r="D3" s="4"/>
      <c r="E3" s="4"/>
      <c r="F3" s="6"/>
      <c r="G3" s="6"/>
      <c r="H3" s="6"/>
    </row>
    <row r="4" customFormat="false" ht="15" hidden="false" customHeight="true" outlineLevel="0" collapsed="false">
      <c r="A4" s="5" t="s">
        <v>4</v>
      </c>
      <c r="B4" s="2" t="s">
        <v>5</v>
      </c>
      <c r="C4" s="6"/>
      <c r="D4" s="4"/>
      <c r="E4" s="4"/>
      <c r="F4" s="6"/>
      <c r="G4" s="6"/>
      <c r="H4" s="6"/>
    </row>
    <row r="5" customFormat="false" ht="15" hidden="false" customHeight="true" outlineLevel="0" collapsed="false">
      <c r="A5" s="5" t="s">
        <v>6</v>
      </c>
      <c r="B5" s="2" t="s">
        <v>7</v>
      </c>
      <c r="C5" s="6"/>
      <c r="D5" s="4"/>
      <c r="E5" s="4"/>
      <c r="F5" s="6"/>
      <c r="G5" s="6"/>
      <c r="H5" s="6"/>
    </row>
    <row r="6" customFormat="false" ht="15" hidden="false" customHeight="true" outlineLevel="0" collapsed="false">
      <c r="A6" s="7"/>
      <c r="B6" s="6"/>
      <c r="C6" s="6"/>
      <c r="D6" s="4"/>
      <c r="E6" s="4"/>
      <c r="F6" s="6"/>
      <c r="G6" s="6"/>
      <c r="H6" s="6"/>
    </row>
    <row r="7" customFormat="false" ht="15" hidden="false" customHeight="true" outlineLevel="0" collapsed="false">
      <c r="A7" s="8" t="s">
        <v>8</v>
      </c>
      <c r="B7" s="8"/>
      <c r="C7" s="8"/>
      <c r="D7" s="8"/>
      <c r="E7" s="8"/>
      <c r="F7" s="8"/>
      <c r="G7" s="8"/>
      <c r="H7" s="8"/>
    </row>
    <row r="8" customFormat="false" ht="15" hidden="false" customHeight="true" outlineLevel="0" collapsed="false">
      <c r="A8" s="9" t="s">
        <v>9</v>
      </c>
      <c r="B8" s="10" t="s">
        <v>10</v>
      </c>
      <c r="C8" s="10" t="s">
        <v>11</v>
      </c>
      <c r="D8" s="11" t="s">
        <v>12</v>
      </c>
      <c r="E8" s="11" t="s">
        <v>13</v>
      </c>
      <c r="F8" s="11" t="s">
        <v>14</v>
      </c>
      <c r="G8" s="12" t="s">
        <v>15</v>
      </c>
      <c r="H8" s="12" t="s">
        <v>16</v>
      </c>
    </row>
    <row r="9" customFormat="false" ht="15" hidden="false" customHeight="true" outlineLevel="0" collapsed="false">
      <c r="A9" s="13"/>
      <c r="B9" s="14" t="s">
        <v>17</v>
      </c>
      <c r="C9" s="14" t="s">
        <v>18</v>
      </c>
      <c r="D9" s="15" t="s">
        <v>19</v>
      </c>
      <c r="E9" s="16" t="n">
        <v>1</v>
      </c>
      <c r="F9" s="14" t="n">
        <v>250</v>
      </c>
      <c r="G9" s="17" t="n">
        <f aca="false">E9*F9</f>
        <v>250</v>
      </c>
      <c r="H9" s="18" t="s">
        <v>20</v>
      </c>
    </row>
    <row r="10" customFormat="false" ht="15" hidden="false" customHeight="true" outlineLevel="0" collapsed="false">
      <c r="A10" s="13"/>
      <c r="B10" s="14" t="s">
        <v>21</v>
      </c>
      <c r="C10" s="14" t="s">
        <v>22</v>
      </c>
      <c r="D10" s="15" t="s">
        <v>23</v>
      </c>
      <c r="E10" s="16" t="n">
        <v>1</v>
      </c>
      <c r="F10" s="14" t="n">
        <v>1</v>
      </c>
      <c r="G10" s="17" t="n">
        <f aca="false">E10*F10</f>
        <v>1</v>
      </c>
      <c r="H10" s="18" t="s">
        <v>20</v>
      </c>
    </row>
    <row r="11" customFormat="false" ht="15" hidden="false" customHeight="true" outlineLevel="0" collapsed="false">
      <c r="A11" s="13"/>
      <c r="B11" s="14"/>
      <c r="C11" s="14"/>
      <c r="D11" s="16"/>
      <c r="E11" s="16"/>
      <c r="F11" s="14"/>
      <c r="G11" s="17"/>
      <c r="H11" s="18"/>
    </row>
    <row r="12" customFormat="false" ht="15" hidden="false" customHeight="true" outlineLevel="0" collapsed="false">
      <c r="A12" s="13"/>
      <c r="B12" s="19"/>
      <c r="C12" s="19"/>
      <c r="D12" s="20"/>
      <c r="E12" s="15"/>
      <c r="F12" s="19"/>
      <c r="G12" s="17"/>
      <c r="H12" s="18"/>
    </row>
    <row r="13" customFormat="false" ht="15" hidden="false" customHeight="true" outlineLevel="0" collapsed="false">
      <c r="A13" s="13"/>
      <c r="B13" s="14"/>
      <c r="C13" s="19"/>
      <c r="D13" s="15"/>
      <c r="E13" s="16"/>
      <c r="F13" s="14"/>
      <c r="G13" s="17"/>
      <c r="H13" s="18"/>
    </row>
    <row r="14" customFormat="false" ht="15" hidden="false" customHeight="true" outlineLevel="0" collapsed="false">
      <c r="A14" s="13"/>
      <c r="B14" s="19"/>
      <c r="C14" s="14"/>
      <c r="D14" s="15"/>
      <c r="E14" s="16"/>
      <c r="F14" s="14"/>
      <c r="G14" s="17"/>
      <c r="H14" s="18"/>
    </row>
    <row r="15" customFormat="false" ht="15" hidden="false" customHeight="true" outlineLevel="0" collapsed="false">
      <c r="A15" s="21"/>
      <c r="B15" s="7"/>
      <c r="C15" s="6"/>
      <c r="D15" s="22"/>
      <c r="E15" s="4"/>
      <c r="F15" s="6"/>
      <c r="G15" s="23"/>
      <c r="H15" s="23"/>
    </row>
    <row r="16" customFormat="false" ht="15" hidden="false" customHeight="true" outlineLevel="0" collapsed="false">
      <c r="A16" s="8" t="s">
        <v>24</v>
      </c>
      <c r="B16" s="8"/>
      <c r="C16" s="8"/>
      <c r="D16" s="8"/>
      <c r="E16" s="8"/>
      <c r="F16" s="8"/>
      <c r="G16" s="8"/>
      <c r="H16" s="8"/>
    </row>
    <row r="17" customFormat="false" ht="15" hidden="false" customHeight="true" outlineLevel="0" collapsed="false">
      <c r="A17" s="24" t="s">
        <v>25</v>
      </c>
      <c r="B17" s="10" t="s">
        <v>10</v>
      </c>
      <c r="C17" s="10" t="s">
        <v>11</v>
      </c>
      <c r="D17" s="11" t="s">
        <v>12</v>
      </c>
      <c r="E17" s="11" t="s">
        <v>13</v>
      </c>
      <c r="F17" s="11" t="s">
        <v>14</v>
      </c>
      <c r="G17" s="12" t="s">
        <v>15</v>
      </c>
      <c r="H17" s="12" t="s">
        <v>16</v>
      </c>
    </row>
    <row r="18" customFormat="false" ht="15" hidden="false" customHeight="true" outlineLevel="0" collapsed="false">
      <c r="A18" s="13"/>
      <c r="B18" s="14"/>
      <c r="C18" s="14"/>
      <c r="D18" s="15"/>
      <c r="E18" s="16"/>
      <c r="F18" s="14"/>
      <c r="G18" s="17"/>
      <c r="H18" s="18"/>
    </row>
    <row r="19" customFormat="false" ht="15" hidden="false" customHeight="true" outlineLevel="0" collapsed="false">
      <c r="A19" s="13"/>
      <c r="B19" s="14"/>
      <c r="C19" s="14"/>
      <c r="D19" s="15"/>
      <c r="E19" s="16"/>
      <c r="F19" s="14"/>
      <c r="G19" s="17"/>
      <c r="H19" s="18"/>
    </row>
    <row r="20" customFormat="false" ht="15" hidden="false" customHeight="true" outlineLevel="0" collapsed="false">
      <c r="A20" s="13"/>
      <c r="B20" s="14"/>
      <c r="C20" s="14"/>
      <c r="D20" s="16"/>
      <c r="E20" s="16"/>
      <c r="F20" s="14"/>
      <c r="G20" s="17" t="n">
        <f aca="false">E20*F20</f>
        <v>0</v>
      </c>
      <c r="H20" s="18" t="s">
        <v>20</v>
      </c>
    </row>
    <row r="21" customFormat="false" ht="15" hidden="false" customHeight="true" outlineLevel="0" collapsed="false">
      <c r="A21" s="13"/>
      <c r="B21" s="14"/>
      <c r="C21" s="14"/>
      <c r="D21" s="16"/>
      <c r="E21" s="16"/>
      <c r="F21" s="14"/>
      <c r="G21" s="17" t="n">
        <f aca="false">E21*F21</f>
        <v>0</v>
      </c>
      <c r="H21" s="18" t="s">
        <v>20</v>
      </c>
    </row>
    <row r="22" customFormat="false" ht="15" hidden="false" customHeight="true" outlineLevel="0" collapsed="false">
      <c r="A22" s="13"/>
      <c r="C22" s="14"/>
      <c r="D22" s="16"/>
      <c r="E22" s="16"/>
      <c r="F22" s="14"/>
      <c r="G22" s="17" t="n">
        <f aca="false">E22*F22</f>
        <v>0</v>
      </c>
      <c r="H22" s="18" t="s">
        <v>20</v>
      </c>
    </row>
    <row r="23" customFormat="false" ht="15" hidden="false" customHeight="true" outlineLevel="0" collapsed="false">
      <c r="A23" s="13"/>
      <c r="B23" s="25" t="s">
        <v>26</v>
      </c>
      <c r="C23" s="25"/>
      <c r="D23" s="25"/>
      <c r="E23" s="25"/>
      <c r="F23" s="25"/>
      <c r="G23" s="17" t="n">
        <f aca="false">SUM(G18:G22)</f>
        <v>0</v>
      </c>
      <c r="H23" s="18" t="s">
        <v>20</v>
      </c>
    </row>
    <row r="24" customFormat="false" ht="15" hidden="false" customHeight="true" outlineLevel="0" collapsed="false">
      <c r="A24" s="13"/>
      <c r="B24" s="25" t="s">
        <v>27</v>
      </c>
      <c r="C24" s="25"/>
      <c r="D24" s="25"/>
      <c r="E24" s="25"/>
      <c r="F24" s="25"/>
      <c r="G24" s="26" t="n">
        <v>0.25</v>
      </c>
      <c r="H24" s="26"/>
    </row>
    <row r="25" customFormat="false" ht="15" hidden="false" customHeight="true" outlineLevel="0" collapsed="false">
      <c r="A25" s="27"/>
      <c r="B25" s="28" t="s">
        <v>28</v>
      </c>
      <c r="C25" s="28"/>
      <c r="D25" s="28"/>
      <c r="E25" s="28"/>
      <c r="F25" s="28"/>
      <c r="G25" s="17" t="n">
        <f aca="false">G23*(1+G24)</f>
        <v>0</v>
      </c>
      <c r="H25" s="18" t="s">
        <v>20</v>
      </c>
    </row>
    <row r="26" customFormat="false" ht="15" hidden="false" customHeight="true" outlineLevel="0" collapsed="false">
      <c r="A26" s="29"/>
      <c r="B26" s="30"/>
      <c r="C26" s="30"/>
      <c r="D26" s="15"/>
      <c r="E26" s="15"/>
      <c r="F26" s="31"/>
      <c r="G26" s="32"/>
      <c r="H26" s="17"/>
    </row>
    <row r="27" customFormat="false" ht="15" hidden="false" customHeight="true" outlineLevel="0" collapsed="false">
      <c r="A27" s="29" t="s">
        <v>29</v>
      </c>
      <c r="B27" s="30" t="s">
        <v>30</v>
      </c>
      <c r="C27" s="30" t="s">
        <v>31</v>
      </c>
      <c r="D27" s="15" t="s">
        <v>32</v>
      </c>
      <c r="E27" s="15" t="n">
        <v>1</v>
      </c>
      <c r="F27" s="31" t="n">
        <v>5000</v>
      </c>
      <c r="G27" s="32" t="n">
        <f aca="false">E27*F27</f>
        <v>5000</v>
      </c>
      <c r="H27" s="18" t="s">
        <v>20</v>
      </c>
    </row>
    <row r="28" customFormat="false" ht="15" hidden="false" customHeight="true" outlineLevel="0" collapsed="false">
      <c r="A28" s="33"/>
      <c r="B28" s="34" t="s">
        <v>33</v>
      </c>
      <c r="C28" s="34"/>
      <c r="D28" s="34"/>
      <c r="E28" s="34"/>
      <c r="F28" s="34"/>
      <c r="G28" s="35" t="n">
        <f aca="false">G27-G25</f>
        <v>5000</v>
      </c>
      <c r="H28" s="18" t="s">
        <v>20</v>
      </c>
    </row>
    <row r="29" customFormat="false" ht="15" hidden="false" customHeight="true" outlineLevel="0" collapsed="false">
      <c r="A29" s="24" t="s">
        <v>34</v>
      </c>
      <c r="B29" s="10" t="s">
        <v>10</v>
      </c>
      <c r="C29" s="10" t="s">
        <v>11</v>
      </c>
      <c r="D29" s="11" t="s">
        <v>12</v>
      </c>
      <c r="E29" s="11" t="s">
        <v>13</v>
      </c>
      <c r="F29" s="11" t="s">
        <v>14</v>
      </c>
      <c r="G29" s="36" t="s">
        <v>15</v>
      </c>
      <c r="H29" s="36" t="s">
        <v>16</v>
      </c>
    </row>
    <row r="30" customFormat="false" ht="15" hidden="false" customHeight="true" outlineLevel="0" collapsed="false">
      <c r="A30" s="13"/>
      <c r="B30" s="14"/>
      <c r="C30" s="14"/>
      <c r="D30" s="16"/>
      <c r="E30" s="16"/>
      <c r="F30" s="14"/>
      <c r="G30" s="17"/>
      <c r="H30" s="18"/>
    </row>
    <row r="31" customFormat="false" ht="15" hidden="false" customHeight="true" outlineLevel="0" collapsed="false">
      <c r="A31" s="13"/>
      <c r="B31" s="19"/>
      <c r="C31" s="19"/>
      <c r="D31" s="15"/>
      <c r="E31" s="15"/>
      <c r="F31" s="19"/>
      <c r="G31" s="17"/>
      <c r="H31" s="18"/>
    </row>
    <row r="32" customFormat="false" ht="15" hidden="false" customHeight="true" outlineLevel="0" collapsed="false">
      <c r="A32" s="13"/>
      <c r="B32" s="14"/>
      <c r="C32" s="14"/>
      <c r="D32" s="16"/>
      <c r="E32" s="16"/>
      <c r="F32" s="14"/>
      <c r="G32" s="17" t="n">
        <f aca="false">E32*F32</f>
        <v>0</v>
      </c>
      <c r="H32" s="18" t="s">
        <v>20</v>
      </c>
    </row>
    <row r="33" customFormat="false" ht="15" hidden="false" customHeight="true" outlineLevel="0" collapsed="false">
      <c r="A33" s="13"/>
      <c r="B33" s="14"/>
      <c r="C33" s="14"/>
      <c r="D33" s="16"/>
      <c r="E33" s="16"/>
      <c r="F33" s="14"/>
      <c r="G33" s="17" t="n">
        <f aca="false">E33*F33</f>
        <v>0</v>
      </c>
      <c r="H33" s="18" t="s">
        <v>20</v>
      </c>
    </row>
    <row r="34" customFormat="false" ht="15" hidden="false" customHeight="true" outlineLevel="0" collapsed="false">
      <c r="A34" s="13"/>
      <c r="B34" s="14"/>
      <c r="C34" s="14"/>
      <c r="D34" s="16"/>
      <c r="E34" s="16"/>
      <c r="F34" s="14"/>
      <c r="G34" s="17" t="n">
        <f aca="false">E34*F34</f>
        <v>0</v>
      </c>
      <c r="H34" s="18" t="s">
        <v>20</v>
      </c>
    </row>
    <row r="35" customFormat="false" ht="15" hidden="false" customHeight="true" outlineLevel="0" collapsed="false">
      <c r="A35" s="13"/>
      <c r="B35" s="25" t="s">
        <v>26</v>
      </c>
      <c r="C35" s="25"/>
      <c r="D35" s="25"/>
      <c r="E35" s="25"/>
      <c r="F35" s="25"/>
      <c r="G35" s="17" t="n">
        <f aca="false">SUM(G30:G34)</f>
        <v>0</v>
      </c>
      <c r="H35" s="18" t="s">
        <v>20</v>
      </c>
    </row>
    <row r="36" customFormat="false" ht="15" hidden="false" customHeight="true" outlineLevel="0" collapsed="false">
      <c r="A36" s="13"/>
      <c r="B36" s="25" t="s">
        <v>27</v>
      </c>
      <c r="C36" s="25"/>
      <c r="D36" s="25"/>
      <c r="E36" s="25"/>
      <c r="F36" s="25"/>
      <c r="G36" s="26" t="n">
        <v>0.25</v>
      </c>
      <c r="H36" s="26"/>
    </row>
    <row r="37" customFormat="false" ht="15" hidden="false" customHeight="true" outlineLevel="0" collapsed="false">
      <c r="A37" s="27"/>
      <c r="B37" s="28" t="s">
        <v>35</v>
      </c>
      <c r="C37" s="28"/>
      <c r="D37" s="28"/>
      <c r="E37" s="28"/>
      <c r="F37" s="28"/>
      <c r="G37" s="17" t="n">
        <f aca="false">G35*(1+G36)</f>
        <v>0</v>
      </c>
      <c r="H37" s="18" t="s">
        <v>20</v>
      </c>
    </row>
    <row r="38" customFormat="false" ht="15" hidden="false" customHeight="true" outlineLevel="0" collapsed="false">
      <c r="A38" s="29"/>
      <c r="B38" s="30"/>
      <c r="C38" s="30"/>
      <c r="D38" s="15"/>
      <c r="E38" s="15"/>
      <c r="F38" s="31"/>
      <c r="G38" s="32"/>
      <c r="H38" s="17"/>
    </row>
    <row r="39" customFormat="false" ht="15" hidden="false" customHeight="true" outlineLevel="0" collapsed="false">
      <c r="A39" s="29" t="s">
        <v>36</v>
      </c>
      <c r="B39" s="30"/>
      <c r="C39" s="30"/>
      <c r="D39" s="15"/>
      <c r="E39" s="15"/>
      <c r="F39" s="31"/>
      <c r="G39" s="32" t="n">
        <v>0</v>
      </c>
      <c r="H39" s="18"/>
    </row>
    <row r="40" customFormat="false" ht="15" hidden="false" customHeight="true" outlineLevel="0" collapsed="false">
      <c r="A40" s="33"/>
      <c r="B40" s="34" t="s">
        <v>37</v>
      </c>
      <c r="C40" s="34"/>
      <c r="D40" s="34"/>
      <c r="E40" s="34"/>
      <c r="F40" s="34"/>
      <c r="G40" s="35" t="n">
        <f aca="false">G39-G37</f>
        <v>0</v>
      </c>
      <c r="H40" s="18" t="s">
        <v>20</v>
      </c>
    </row>
    <row r="41" customFormat="false" ht="15" hidden="false" customHeight="true" outlineLevel="0" collapsed="false">
      <c r="A41" s="24" t="s">
        <v>38</v>
      </c>
      <c r="B41" s="10" t="s">
        <v>10</v>
      </c>
      <c r="C41" s="10" t="s">
        <v>11</v>
      </c>
      <c r="D41" s="11" t="s">
        <v>12</v>
      </c>
      <c r="E41" s="11" t="s">
        <v>13</v>
      </c>
      <c r="F41" s="11" t="s">
        <v>14</v>
      </c>
      <c r="G41" s="36" t="s">
        <v>15</v>
      </c>
      <c r="H41" s="36" t="s">
        <v>16</v>
      </c>
    </row>
    <row r="42" customFormat="false" ht="15" hidden="false" customHeight="true" outlineLevel="0" collapsed="false">
      <c r="A42" s="13"/>
      <c r="B42" s="19"/>
      <c r="C42" s="14"/>
      <c r="D42" s="15"/>
      <c r="E42" s="16"/>
      <c r="F42" s="19"/>
      <c r="G42" s="18"/>
      <c r="H42" s="18"/>
    </row>
    <row r="43" customFormat="false" ht="15" hidden="false" customHeight="true" outlineLevel="0" collapsed="false">
      <c r="A43" s="13"/>
      <c r="B43" s="14"/>
      <c r="C43" s="14"/>
      <c r="D43" s="16"/>
      <c r="E43" s="16"/>
      <c r="F43" s="14"/>
      <c r="G43" s="17" t="n">
        <f aca="false">E43*F43</f>
        <v>0</v>
      </c>
      <c r="H43" s="18" t="s">
        <v>20</v>
      </c>
    </row>
    <row r="44" customFormat="false" ht="15" hidden="false" customHeight="true" outlineLevel="0" collapsed="false">
      <c r="A44" s="13"/>
      <c r="B44" s="14"/>
      <c r="C44" s="14"/>
      <c r="D44" s="16"/>
      <c r="E44" s="16"/>
      <c r="F44" s="14"/>
      <c r="G44" s="17" t="n">
        <f aca="false">E44*F44</f>
        <v>0</v>
      </c>
      <c r="H44" s="18" t="s">
        <v>20</v>
      </c>
    </row>
    <row r="45" customFormat="false" ht="15" hidden="false" customHeight="true" outlineLevel="0" collapsed="false">
      <c r="A45" s="13"/>
      <c r="B45" s="14"/>
      <c r="C45" s="14"/>
      <c r="D45" s="16"/>
      <c r="E45" s="16"/>
      <c r="F45" s="14"/>
      <c r="G45" s="17" t="n">
        <f aca="false">E45*F45</f>
        <v>0</v>
      </c>
      <c r="H45" s="18" t="s">
        <v>20</v>
      </c>
    </row>
    <row r="46" customFormat="false" ht="15" hidden="false" customHeight="true" outlineLevel="0" collapsed="false">
      <c r="A46" s="13"/>
      <c r="B46" s="25" t="s">
        <v>26</v>
      </c>
      <c r="C46" s="25"/>
      <c r="D46" s="25"/>
      <c r="E46" s="25"/>
      <c r="F46" s="25"/>
      <c r="G46" s="17" t="n">
        <f aca="false">SUM(G41:G45)</f>
        <v>0</v>
      </c>
      <c r="H46" s="18" t="s">
        <v>20</v>
      </c>
    </row>
    <row r="47" customFormat="false" ht="15" hidden="false" customHeight="true" outlineLevel="0" collapsed="false">
      <c r="A47" s="13"/>
      <c r="B47" s="25" t="s">
        <v>27</v>
      </c>
      <c r="C47" s="25"/>
      <c r="D47" s="25"/>
      <c r="E47" s="25"/>
      <c r="F47" s="25"/>
      <c r="G47" s="26" t="n">
        <v>0.25</v>
      </c>
      <c r="H47" s="26"/>
    </row>
    <row r="48" customFormat="false" ht="15" hidden="false" customHeight="true" outlineLevel="0" collapsed="false">
      <c r="A48" s="13"/>
      <c r="B48" s="28" t="s">
        <v>39</v>
      </c>
      <c r="C48" s="28"/>
      <c r="D48" s="28"/>
      <c r="E48" s="28"/>
      <c r="F48" s="28"/>
      <c r="G48" s="17" t="n">
        <f aca="false">G46*(1+G47)</f>
        <v>0</v>
      </c>
      <c r="H48" s="18" t="s">
        <v>20</v>
      </c>
    </row>
    <row r="49" customFormat="false" ht="15" hidden="false" customHeight="true" outlineLevel="0" collapsed="false">
      <c r="A49" s="29"/>
      <c r="B49" s="30"/>
      <c r="C49" s="30"/>
      <c r="D49" s="15"/>
      <c r="E49" s="15"/>
      <c r="F49" s="31"/>
      <c r="G49" s="32"/>
      <c r="H49" s="17"/>
    </row>
    <row r="50" customFormat="false" ht="15" hidden="false" customHeight="true" outlineLevel="0" collapsed="false">
      <c r="A50" s="29" t="s">
        <v>40</v>
      </c>
      <c r="B50" s="30"/>
      <c r="C50" s="30"/>
      <c r="D50" s="15"/>
      <c r="E50" s="15"/>
      <c r="F50" s="31"/>
      <c r="G50" s="32" t="n">
        <v>0</v>
      </c>
      <c r="H50" s="18"/>
    </row>
    <row r="51" customFormat="false" ht="15" hidden="false" customHeight="true" outlineLevel="0" collapsed="false">
      <c r="A51" s="33"/>
      <c r="B51" s="34" t="s">
        <v>41</v>
      </c>
      <c r="C51" s="34"/>
      <c r="D51" s="34"/>
      <c r="E51" s="34"/>
      <c r="F51" s="34"/>
      <c r="G51" s="35" t="n">
        <f aca="false">G50-G48</f>
        <v>0</v>
      </c>
      <c r="H51" s="18" t="s">
        <v>20</v>
      </c>
    </row>
    <row r="52" customFormat="false" ht="15" hidden="false" customHeight="true" outlineLevel="0" collapsed="false">
      <c r="A52" s="24" t="s">
        <v>42</v>
      </c>
      <c r="B52" s="10" t="s">
        <v>10</v>
      </c>
      <c r="C52" s="10" t="s">
        <v>11</v>
      </c>
      <c r="D52" s="11" t="s">
        <v>12</v>
      </c>
      <c r="E52" s="11" t="s">
        <v>13</v>
      </c>
      <c r="F52" s="11" t="s">
        <v>14</v>
      </c>
      <c r="G52" s="36" t="s">
        <v>15</v>
      </c>
      <c r="H52" s="36" t="s">
        <v>16</v>
      </c>
    </row>
    <row r="53" customFormat="false" ht="15" hidden="false" customHeight="true" outlineLevel="0" collapsed="false">
      <c r="A53" s="13"/>
      <c r="B53" s="19" t="s">
        <v>17</v>
      </c>
      <c r="C53" s="14" t="s">
        <v>18</v>
      </c>
      <c r="D53" s="15" t="s">
        <v>19</v>
      </c>
      <c r="E53" s="16" t="n">
        <v>1</v>
      </c>
      <c r="F53" s="14" t="n">
        <v>250</v>
      </c>
      <c r="G53" s="17" t="n">
        <f aca="false">E53*F53</f>
        <v>250</v>
      </c>
      <c r="H53" s="18" t="s">
        <v>20</v>
      </c>
    </row>
    <row r="54" customFormat="false" ht="15" hidden="false" customHeight="true" outlineLevel="0" collapsed="false">
      <c r="A54" s="13"/>
      <c r="B54" s="14" t="s">
        <v>21</v>
      </c>
      <c r="C54" s="14" t="s">
        <v>22</v>
      </c>
      <c r="D54" s="16" t="s">
        <v>23</v>
      </c>
      <c r="E54" s="16" t="n">
        <v>1</v>
      </c>
      <c r="F54" s="14" t="n">
        <v>1</v>
      </c>
      <c r="G54" s="17" t="n">
        <f aca="false">E54*F54</f>
        <v>1</v>
      </c>
      <c r="H54" s="18" t="s">
        <v>20</v>
      </c>
    </row>
    <row r="55" customFormat="false" ht="15" hidden="false" customHeight="true" outlineLevel="0" collapsed="false">
      <c r="A55" s="13"/>
      <c r="B55" s="14"/>
      <c r="C55" s="14"/>
      <c r="D55" s="16"/>
      <c r="E55" s="16"/>
      <c r="F55" s="14"/>
      <c r="G55" s="17" t="n">
        <f aca="false">E55*F55</f>
        <v>0</v>
      </c>
      <c r="H55" s="18" t="s">
        <v>20</v>
      </c>
    </row>
    <row r="56" customFormat="false" ht="15" hidden="false" customHeight="true" outlineLevel="0" collapsed="false">
      <c r="A56" s="13"/>
      <c r="B56" s="14"/>
      <c r="C56" s="14"/>
      <c r="D56" s="16"/>
      <c r="E56" s="16"/>
      <c r="F56" s="14"/>
      <c r="G56" s="17" t="n">
        <f aca="false">E56*F56</f>
        <v>0</v>
      </c>
      <c r="H56" s="18" t="s">
        <v>20</v>
      </c>
    </row>
    <row r="57" customFormat="false" ht="15" hidden="false" customHeight="true" outlineLevel="0" collapsed="false">
      <c r="A57" s="13"/>
      <c r="B57" s="25" t="s">
        <v>26</v>
      </c>
      <c r="C57" s="25"/>
      <c r="D57" s="25"/>
      <c r="E57" s="25"/>
      <c r="F57" s="25"/>
      <c r="G57" s="17" t="n">
        <f aca="false">SUM(G52:G56)</f>
        <v>251</v>
      </c>
      <c r="H57" s="18" t="s">
        <v>20</v>
      </c>
    </row>
    <row r="58" customFormat="false" ht="15" hidden="false" customHeight="true" outlineLevel="0" collapsed="false">
      <c r="A58" s="13"/>
      <c r="B58" s="25" t="s">
        <v>27</v>
      </c>
      <c r="C58" s="25"/>
      <c r="D58" s="25"/>
      <c r="E58" s="25"/>
      <c r="F58" s="25"/>
      <c r="G58" s="26" t="n">
        <v>0.25</v>
      </c>
      <c r="H58" s="26"/>
    </row>
    <row r="59" customFormat="false" ht="15" hidden="false" customHeight="true" outlineLevel="0" collapsed="false">
      <c r="A59" s="13"/>
      <c r="B59" s="28" t="s">
        <v>43</v>
      </c>
      <c r="C59" s="28"/>
      <c r="D59" s="28"/>
      <c r="E59" s="28"/>
      <c r="F59" s="28"/>
      <c r="G59" s="17" t="n">
        <f aca="false">G57*(1+G58)</f>
        <v>313.75</v>
      </c>
      <c r="H59" s="18" t="s">
        <v>20</v>
      </c>
    </row>
    <row r="60" customFormat="false" ht="15" hidden="false" customHeight="true" outlineLevel="0" collapsed="false">
      <c r="A60" s="29"/>
      <c r="B60" s="19"/>
      <c r="C60" s="14"/>
      <c r="D60" s="15"/>
      <c r="E60" s="16"/>
      <c r="F60" s="14"/>
      <c r="G60" s="17"/>
      <c r="H60" s="23"/>
    </row>
    <row r="61" customFormat="false" ht="15" hidden="false" customHeight="true" outlineLevel="0" collapsed="false">
      <c r="A61" s="29" t="s">
        <v>44</v>
      </c>
      <c r="B61" s="19" t="s">
        <v>45</v>
      </c>
      <c r="C61" s="14" t="s">
        <v>46</v>
      </c>
      <c r="D61" s="15" t="s">
        <v>47</v>
      </c>
      <c r="E61" s="16" t="n">
        <v>1</v>
      </c>
      <c r="F61" s="14" t="n">
        <v>1000</v>
      </c>
      <c r="G61" s="17" t="n">
        <f aca="false">E61*F61</f>
        <v>1000</v>
      </c>
      <c r="H61" s="18" t="s">
        <v>20</v>
      </c>
    </row>
    <row r="62" customFormat="false" ht="15" hidden="false" customHeight="true" outlineLevel="0" collapsed="false">
      <c r="A62" s="13"/>
      <c r="B62" s="37" t="s">
        <v>48</v>
      </c>
      <c r="C62" s="37"/>
      <c r="D62" s="37"/>
      <c r="E62" s="37"/>
      <c r="F62" s="37"/>
      <c r="G62" s="35" t="n">
        <f aca="false">G61-G59</f>
        <v>686.25</v>
      </c>
      <c r="H62" s="18" t="s">
        <v>20</v>
      </c>
    </row>
    <row r="63" customFormat="false" ht="15" hidden="false" customHeight="true" outlineLevel="0" collapsed="false">
      <c r="A63" s="38"/>
      <c r="B63" s="39"/>
      <c r="C63" s="39"/>
      <c r="D63" s="39"/>
      <c r="E63" s="39"/>
      <c r="F63" s="39"/>
      <c r="G63" s="40"/>
      <c r="H63" s="41"/>
    </row>
    <row r="64" customFormat="false" ht="15" hidden="false" customHeight="true" outlineLevel="0" collapsed="false">
      <c r="A64" s="8" t="s">
        <v>49</v>
      </c>
      <c r="B64" s="8"/>
      <c r="C64" s="8"/>
      <c r="D64" s="8"/>
      <c r="E64" s="8"/>
      <c r="F64" s="8"/>
      <c r="G64" s="8"/>
      <c r="H64" s="8"/>
    </row>
    <row r="65" customFormat="false" ht="15" hidden="false" customHeight="true" outlineLevel="0" collapsed="false">
      <c r="A65" s="42"/>
      <c r="B65" s="42"/>
      <c r="C65" s="42"/>
      <c r="D65" s="42"/>
      <c r="E65" s="42"/>
      <c r="F65" s="42"/>
      <c r="G65" s="42"/>
      <c r="H65" s="42"/>
    </row>
    <row r="66" customFormat="false" ht="15" hidden="false" customHeight="true" outlineLevel="0" collapsed="false">
      <c r="A66" s="8" t="s">
        <v>50</v>
      </c>
      <c r="B66" s="8"/>
      <c r="C66" s="8"/>
      <c r="D66" s="8"/>
      <c r="E66" s="8"/>
      <c r="F66" s="8"/>
      <c r="G66" s="8"/>
      <c r="H66" s="8"/>
    </row>
    <row r="67" customFormat="false" ht="15" hidden="false" customHeight="true" outlineLevel="0" collapsed="false">
      <c r="A67" s="24" t="s">
        <v>51</v>
      </c>
      <c r="B67" s="10" t="s">
        <v>10</v>
      </c>
      <c r="C67" s="10" t="s">
        <v>11</v>
      </c>
      <c r="D67" s="11" t="s">
        <v>12</v>
      </c>
      <c r="E67" s="11" t="s">
        <v>52</v>
      </c>
      <c r="F67" s="11" t="s">
        <v>14</v>
      </c>
      <c r="G67" s="36" t="s">
        <v>15</v>
      </c>
      <c r="H67" s="36" t="s">
        <v>16</v>
      </c>
    </row>
    <row r="68" customFormat="false" ht="15" hidden="false" customHeight="true" outlineLevel="0" collapsed="false">
      <c r="A68" s="43" t="s">
        <v>53</v>
      </c>
      <c r="B68" s="30" t="s">
        <v>54</v>
      </c>
      <c r="C68" s="15" t="s">
        <v>55</v>
      </c>
      <c r="D68" s="15" t="s">
        <v>56</v>
      </c>
      <c r="E68" s="15" t="s">
        <v>32</v>
      </c>
      <c r="F68" s="31" t="n">
        <v>2000</v>
      </c>
      <c r="G68" s="44" t="n">
        <v>2000</v>
      </c>
      <c r="H68" s="45" t="s">
        <v>20</v>
      </c>
    </row>
    <row r="69" customFormat="false" ht="15" hidden="false" customHeight="true" outlineLevel="0" collapsed="false">
      <c r="A69" s="46"/>
      <c r="B69" s="30"/>
      <c r="C69" s="30"/>
      <c r="D69" s="15"/>
      <c r="E69" s="15"/>
      <c r="F69" s="31"/>
      <c r="G69" s="32"/>
      <c r="H69" s="47"/>
    </row>
    <row r="70" customFormat="false" ht="15" hidden="false" customHeight="true" outlineLevel="0" collapsed="false">
      <c r="A70" s="48" t="s">
        <v>57</v>
      </c>
      <c r="B70" s="30" t="s">
        <v>45</v>
      </c>
      <c r="C70" s="30" t="s">
        <v>46</v>
      </c>
      <c r="D70" s="15" t="s">
        <v>47</v>
      </c>
      <c r="E70" s="15" t="n">
        <v>1</v>
      </c>
      <c r="F70" s="31" t="n">
        <v>1000</v>
      </c>
      <c r="G70" s="32" t="n">
        <f aca="false">E70*F70</f>
        <v>1000</v>
      </c>
      <c r="H70" s="18" t="s">
        <v>20</v>
      </c>
    </row>
    <row r="71" customFormat="false" ht="15" hidden="false" customHeight="true" outlineLevel="0" collapsed="false">
      <c r="A71" s="48"/>
      <c r="B71" s="30"/>
      <c r="C71" s="30"/>
      <c r="D71" s="15"/>
      <c r="E71" s="15"/>
      <c r="F71" s="31"/>
      <c r="G71" s="32"/>
      <c r="H71" s="18"/>
    </row>
    <row r="72" customFormat="false" ht="15" hidden="false" customHeight="true" outlineLevel="0" collapsed="false">
      <c r="A72" s="48"/>
      <c r="B72" s="19"/>
      <c r="C72" s="14"/>
      <c r="D72" s="15"/>
      <c r="E72" s="16"/>
      <c r="F72" s="14"/>
      <c r="G72" s="17"/>
      <c r="H72" s="18"/>
    </row>
    <row r="73" customFormat="false" ht="15" hidden="false" customHeight="true" outlineLevel="0" collapsed="false">
      <c r="A73" s="46"/>
      <c r="B73" s="37" t="s">
        <v>58</v>
      </c>
      <c r="C73" s="37"/>
      <c r="D73" s="37"/>
      <c r="E73" s="37"/>
      <c r="F73" s="37"/>
      <c r="G73" s="44" t="n">
        <f aca="false">G68-SUM(G70:G72)</f>
        <v>1000</v>
      </c>
      <c r="H73" s="45" t="s">
        <v>20</v>
      </c>
    </row>
    <row r="74" customFormat="false" ht="15" hidden="false" customHeight="true" outlineLevel="0" collapsed="false">
      <c r="A74" s="46"/>
      <c r="B74" s="4"/>
      <c r="C74" s="4"/>
      <c r="D74" s="22"/>
      <c r="E74" s="22"/>
      <c r="F74" s="22"/>
      <c r="G74" s="49"/>
      <c r="H74" s="50"/>
    </row>
    <row r="75" customFormat="false" ht="15" hidden="false" customHeight="true" outlineLevel="0" collapsed="false">
      <c r="A75" s="24" t="s">
        <v>59</v>
      </c>
      <c r="B75" s="10" t="s">
        <v>10</v>
      </c>
      <c r="C75" s="10" t="s">
        <v>11</v>
      </c>
      <c r="D75" s="11" t="s">
        <v>12</v>
      </c>
      <c r="E75" s="11" t="s">
        <v>52</v>
      </c>
      <c r="F75" s="11" t="s">
        <v>14</v>
      </c>
      <c r="G75" s="36" t="s">
        <v>15</v>
      </c>
      <c r="H75" s="36" t="s">
        <v>16</v>
      </c>
    </row>
    <row r="76" customFormat="false" ht="15" hidden="false" customHeight="true" outlineLevel="0" collapsed="false">
      <c r="A76" s="43" t="s">
        <v>60</v>
      </c>
      <c r="B76" s="30"/>
      <c r="C76" s="15"/>
      <c r="D76" s="15"/>
      <c r="E76" s="15"/>
      <c r="F76" s="31"/>
      <c r="G76" s="44" t="n">
        <v>0</v>
      </c>
      <c r="H76" s="45"/>
    </row>
    <row r="77" customFormat="false" ht="15" hidden="false" customHeight="true" outlineLevel="0" collapsed="false">
      <c r="A77" s="46"/>
      <c r="B77" s="30"/>
      <c r="C77" s="30"/>
      <c r="D77" s="15"/>
      <c r="E77" s="15"/>
      <c r="F77" s="31"/>
      <c r="G77" s="32"/>
      <c r="H77" s="47"/>
    </row>
    <row r="78" customFormat="false" ht="15" hidden="false" customHeight="true" outlineLevel="0" collapsed="false">
      <c r="A78" s="48" t="s">
        <v>61</v>
      </c>
      <c r="B78" s="30"/>
      <c r="C78" s="30"/>
      <c r="D78" s="15"/>
      <c r="E78" s="15"/>
      <c r="F78" s="31"/>
      <c r="G78" s="32"/>
      <c r="H78" s="18"/>
    </row>
    <row r="79" customFormat="false" ht="15" hidden="false" customHeight="true" outlineLevel="0" collapsed="false">
      <c r="A79" s="48"/>
      <c r="B79" s="30"/>
      <c r="C79" s="30"/>
      <c r="D79" s="15"/>
      <c r="E79" s="15"/>
      <c r="F79" s="31"/>
      <c r="G79" s="32"/>
      <c r="H79" s="18"/>
    </row>
    <row r="80" customFormat="false" ht="15" hidden="false" customHeight="true" outlineLevel="0" collapsed="false">
      <c r="A80" s="48"/>
      <c r="B80" s="19"/>
      <c r="C80" s="14"/>
      <c r="D80" s="15"/>
      <c r="E80" s="16"/>
      <c r="F80" s="14"/>
      <c r="G80" s="17"/>
      <c r="H80" s="18"/>
    </row>
    <row r="81" customFormat="false" ht="15" hidden="false" customHeight="true" outlineLevel="0" collapsed="false">
      <c r="A81" s="46"/>
      <c r="B81" s="37" t="s">
        <v>62</v>
      </c>
      <c r="C81" s="37"/>
      <c r="D81" s="37"/>
      <c r="E81" s="37"/>
      <c r="F81" s="37"/>
      <c r="G81" s="44" t="n">
        <f aca="false">G76-SUM(G78:G80)</f>
        <v>0</v>
      </c>
      <c r="H81" s="45" t="s">
        <v>20</v>
      </c>
    </row>
    <row r="82" customFormat="false" ht="15" hidden="false" customHeight="true" outlineLevel="0" collapsed="false">
      <c r="A82" s="27"/>
      <c r="B82" s="19"/>
      <c r="C82" s="14"/>
      <c r="D82" s="51"/>
      <c r="E82" s="15"/>
      <c r="F82" s="19"/>
      <c r="G82" s="17"/>
      <c r="H82" s="52"/>
    </row>
    <row r="83" customFormat="false" ht="15" hidden="false" customHeight="true" outlineLevel="0" collapsed="false">
      <c r="A83" s="53" t="s">
        <v>63</v>
      </c>
      <c r="B83" s="53"/>
      <c r="C83" s="53"/>
      <c r="D83" s="53"/>
      <c r="E83" s="53"/>
      <c r="F83" s="53"/>
      <c r="G83" s="54"/>
      <c r="H83" s="54"/>
    </row>
    <row r="84" customFormat="false" ht="15" hidden="false" customHeight="true" outlineLevel="0" collapsed="false">
      <c r="A84" s="55"/>
      <c r="B84" s="56" t="s">
        <v>10</v>
      </c>
      <c r="C84" s="56" t="s">
        <v>11</v>
      </c>
      <c r="D84" s="57" t="s">
        <v>12</v>
      </c>
      <c r="E84" s="57"/>
      <c r="F84" s="57" t="s">
        <v>64</v>
      </c>
      <c r="G84" s="58" t="s">
        <v>65</v>
      </c>
      <c r="H84" s="59"/>
    </row>
    <row r="85" customFormat="false" ht="15" hidden="false" customHeight="true" outlineLevel="0" collapsed="false">
      <c r="A85" s="13"/>
      <c r="B85" s="14"/>
      <c r="C85" s="14"/>
      <c r="D85" s="15"/>
      <c r="E85" s="16"/>
      <c r="F85" s="19"/>
      <c r="G85" s="17"/>
      <c r="H85" s="17"/>
    </row>
    <row r="86" customFormat="false" ht="15" hidden="false" customHeight="true" outlineLevel="0" collapsed="false">
      <c r="A86" s="13"/>
      <c r="B86" s="14"/>
      <c r="C86" s="14"/>
      <c r="D86" s="16"/>
      <c r="E86" s="16"/>
      <c r="F86" s="60"/>
      <c r="G86" s="17"/>
      <c r="H86" s="18"/>
    </row>
    <row r="87" customFormat="false" ht="15" hidden="false" customHeight="true" outlineLevel="0" collapsed="false">
      <c r="A87" s="61" t="s">
        <v>66</v>
      </c>
      <c r="B87" s="61"/>
      <c r="C87" s="61"/>
      <c r="D87" s="61"/>
      <c r="E87" s="61"/>
      <c r="F87" s="61"/>
      <c r="G87" s="62"/>
      <c r="H87" s="62"/>
    </row>
    <row r="88" customFormat="false" ht="15" hidden="false" customHeight="true" outlineLevel="0" collapsed="false">
      <c r="A88" s="63" t="s">
        <v>67</v>
      </c>
      <c r="B88" s="63"/>
      <c r="C88" s="63"/>
      <c r="D88" s="63"/>
      <c r="E88" s="63"/>
      <c r="F88" s="63"/>
      <c r="G88" s="63"/>
      <c r="H88" s="63"/>
    </row>
    <row r="89" customFormat="false" ht="15" hidden="false" customHeight="true" outlineLevel="0" collapsed="false">
      <c r="A89" s="64" t="s">
        <v>68</v>
      </c>
      <c r="B89" s="64"/>
      <c r="C89" s="64"/>
      <c r="D89" s="64"/>
      <c r="E89" s="64"/>
      <c r="F89" s="64"/>
      <c r="G89" s="64"/>
      <c r="H89" s="64"/>
    </row>
  </sheetData>
  <mergeCells count="30">
    <mergeCell ref="A1:H1"/>
    <mergeCell ref="A7:H7"/>
    <mergeCell ref="A16:H16"/>
    <mergeCell ref="B23:F23"/>
    <mergeCell ref="B24:F24"/>
    <mergeCell ref="B25:F25"/>
    <mergeCell ref="B28:F28"/>
    <mergeCell ref="B35:F35"/>
    <mergeCell ref="B36:F36"/>
    <mergeCell ref="B37:F37"/>
    <mergeCell ref="B40:F40"/>
    <mergeCell ref="B46:F46"/>
    <mergeCell ref="B47:F47"/>
    <mergeCell ref="B48:F48"/>
    <mergeCell ref="B51:F51"/>
    <mergeCell ref="B57:F57"/>
    <mergeCell ref="B58:F58"/>
    <mergeCell ref="B59:F59"/>
    <mergeCell ref="B62:F62"/>
    <mergeCell ref="A64:H64"/>
    <mergeCell ref="A65:H65"/>
    <mergeCell ref="A66:H66"/>
    <mergeCell ref="A70:A72"/>
    <mergeCell ref="B73:F73"/>
    <mergeCell ref="A78:A80"/>
    <mergeCell ref="B81:F81"/>
    <mergeCell ref="A83:F83"/>
    <mergeCell ref="A87:F87"/>
    <mergeCell ref="A88:H88"/>
    <mergeCell ref="A89:H89"/>
  </mergeCells>
  <conditionalFormatting sqref="G28 G40 G51 G62">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2026-05-04T21:06:42Z</dcterms:created>
  <dc:creator>openpyxl</dc:creator>
  <dc:description/>
  <dc:language>en-US</dc:language>
  <cp:lastModifiedBy/>
  <dcterms:modified xsi:type="dcterms:W3CDTF">2026-05-04T21:06:42Z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